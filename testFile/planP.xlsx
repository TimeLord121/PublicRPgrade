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4055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calcChain.xml><?xml version="1.0" encoding="utf-8"?>
<calcChain xmlns="http://schemas.openxmlformats.org/spreadsheetml/2006/main">
  <c r="B4" i="1" l="1"/>
  <c r="B3" i="1"/>
  <c r="AA3" i="1"/>
  <c r="Z3" i="1"/>
  <c r="AM3" i="1" l="1"/>
  <c r="AL3" i="1"/>
  <c r="AK3" i="1"/>
  <c r="AJ3" i="1"/>
  <c r="AI3" i="1"/>
  <c r="AH3" i="1"/>
  <c r="AG3" i="1"/>
  <c r="AF3" i="1"/>
  <c r="AE3" i="1"/>
  <c r="AD3" i="1"/>
  <c r="AC3" i="1"/>
  <c r="AB3" i="1"/>
  <c r="R3" i="1" l="1"/>
  <c r="S3" i="1"/>
  <c r="T3" i="1"/>
  <c r="U3" i="1"/>
  <c r="V3" i="1"/>
  <c r="W3" i="1"/>
  <c r="X3" i="1"/>
  <c r="Y3" i="1"/>
  <c r="Q3" i="1" l="1"/>
  <c r="P3" i="1"/>
  <c r="O3" i="1"/>
  <c r="N3" i="1"/>
  <c r="M3" i="1"/>
  <c r="L3" i="1"/>
  <c r="K3" i="1"/>
  <c r="J3" i="1"/>
  <c r="I3" i="1"/>
  <c r="H3" i="1"/>
  <c r="G3" i="1"/>
  <c r="F3" i="1"/>
  <c r="E3" i="1"/>
  <c r="D3" i="1"/>
  <c r="B5" i="1" l="1"/>
</calcChain>
</file>

<file path=xl/sharedStrings.xml><?xml version="1.0" encoding="utf-8"?>
<sst xmlns="http://schemas.openxmlformats.org/spreadsheetml/2006/main" count="7" uniqueCount="7">
  <si>
    <t>Выручка, руб.</t>
  </si>
  <si>
    <t>Площадь, м2</t>
  </si>
  <si>
    <t>Показатели</t>
  </si>
  <si>
    <t>Итого</t>
  </si>
  <si>
    <t>ЖК тестовый</t>
  </si>
  <si>
    <t xml:space="preserve">Цена за 1 м2/руб. </t>
  </si>
  <si>
    <t>Корректировка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</si>
</sst>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8"/>
      <color theme="1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9"/>
      <color rgb="FFFFFFFF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8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9" fillId="0" borderId="0"/>
    <xf numFmtId="0" fontId="10" fillId="0" borderId="0"/>
    <xf numFmtId="0" fontId="9" fillId="0" borderId="0"/>
  </cellStyleXfs>
  <cellXfs count="9">
    <xf numFmtId="0" fontId="0" fillId="0" borderId="0" xfId="0"/>
    <xf numFmtId="3" fontId="3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0" fontId="0" fillId="3" borderId="0" xfId="0" applyFill="1"/>
    <xf numFmtId="3" fontId="4" fillId="3" borderId="1" xfId="0" applyNumberFormat="1" applyFont="1" applyFill="1" applyBorder="1" applyAlignment="1">
      <alignment horizontal="center"/>
    </xf>
    <xf numFmtId="0" fontId="0" fillId="5" borderId="1" xfId="0" applyFill="1" applyBorder="1"/>
    <xf numFmtId="14" fontId="7" fillId="4" borderId="1" xfId="2" applyNumberFormat="1" applyFont="1" applyFill="1" applyBorder="1" applyAlignment="1" applyProtection="1">
      <alignment horizontal="center" vertical="center" wrapText="1"/>
    </xf>
    <xf numFmtId="0" fontId="2" fillId="5" borderId="1" xfId="0" applyFont="1" applyFill="1" applyBorder="1"/>
    <xf numFmtId="0" fontId="5" fillId="3" borderId="1" xfId="0" applyFont="1" applyFill="1" applyBorder="1"/>
  </cellXfs>
  <cellStyles count="9">
    <cellStyle name="Обычный" xfId="0" builtinId="0"/>
    <cellStyle name="Обычный 2 2 2" xfId="8"/>
    <cellStyle name="Обычный 2 3 4" xfId="2"/>
    <cellStyle name="Обычный 3" xfId="7"/>
    <cellStyle name="Обычный 3 2" xfId="6"/>
    <cellStyle name="Обычный 3 3" xfId="4"/>
    <cellStyle name="Процентный 2" xfId="3"/>
    <cellStyle name="Финансовый 130" xfId="5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"/>
  <sheetViews>
    <sheetView tabSelected="1" topLeftCell="B1" workbookViewId="0">
      <selection activeCell="B5" sqref="B5"/>
    </sheetView>
  </sheetViews>
  <sheetFormatPr defaultRowHeight="15" x14ac:dyDescent="0.25"/>
  <cols>
    <col min="1" max="1" width="28.7109375" customWidth="1"/>
    <col min="2" max="2" width="12.28515625" bestFit="1" customWidth="1"/>
    <col min="3" max="3" width="15.140625" customWidth="1"/>
    <col min="4" max="11" width="12.28515625" customWidth="1"/>
    <col min="12" max="12" width="10.42578125" customWidth="1"/>
    <col min="13" max="27" width="12.7109375" customWidth="1"/>
    <col min="28" max="28" width="10.42578125" customWidth="1"/>
    <col min="29" max="29" width="10.28515625" customWidth="1"/>
    <col min="30" max="31" width="10.5703125" customWidth="1"/>
    <col min="32" max="32" width="10.7109375" customWidth="1"/>
    <col min="33" max="34" width="10.28515625" customWidth="1"/>
    <col min="35" max="36" width="10.7109375" customWidth="1"/>
    <col min="37" max="37" width="10.85546875" customWidth="1"/>
    <col min="38" max="38" width="10.42578125" customWidth="1"/>
    <col min="39" max="39" width="11.140625" customWidth="1"/>
  </cols>
  <sheetData>
    <row r="1" spans="1:45" x14ac:dyDescent="0.25">
      <c r="A1" s="5" t="s">
        <v>4</v>
      </c>
      <c r="B1" s="5"/>
      <c r="C1" s="5"/>
      <c r="D1" s="6">
        <v>43831</v>
      </c>
      <c r="E1" s="6">
        <v>43862</v>
      </c>
      <c r="F1" s="6">
        <v>43891</v>
      </c>
      <c r="G1" s="6">
        <v>43922</v>
      </c>
      <c r="H1" s="6">
        <v>43952</v>
      </c>
      <c r="I1" s="6">
        <v>43983</v>
      </c>
      <c r="J1" s="6">
        <v>44013</v>
      </c>
      <c r="K1" s="6">
        <v>44044</v>
      </c>
      <c r="L1" s="6">
        <v>44075</v>
      </c>
      <c r="M1" s="6">
        <v>44105</v>
      </c>
      <c r="N1" s="6">
        <v>44136</v>
      </c>
      <c r="O1" s="6">
        <v>44166</v>
      </c>
      <c r="P1" s="6">
        <v>44197</v>
      </c>
      <c r="Q1" s="6">
        <v>44228</v>
      </c>
      <c r="R1" s="6">
        <v>44256</v>
      </c>
      <c r="S1" s="6">
        <v>44287</v>
      </c>
      <c r="T1" s="6">
        <v>44317</v>
      </c>
      <c r="U1" s="6">
        <v>44348</v>
      </c>
      <c r="V1" s="6">
        <v>44378</v>
      </c>
      <c r="W1" s="6">
        <v>44409</v>
      </c>
      <c r="X1" s="6">
        <v>44440</v>
      </c>
      <c r="Y1" s="6">
        <v>44470</v>
      </c>
      <c r="Z1" s="6">
        <v>44501</v>
      </c>
      <c r="AA1" s="6">
        <v>44531</v>
      </c>
      <c r="AB1" s="6">
        <v>44562</v>
      </c>
      <c r="AC1" s="6">
        <v>44593</v>
      </c>
      <c r="AD1" s="6">
        <v>44621</v>
      </c>
      <c r="AE1" s="6">
        <v>44652</v>
      </c>
      <c r="AF1" s="6">
        <v>44682</v>
      </c>
      <c r="AG1" s="6">
        <v>44713</v>
      </c>
      <c r="AH1" s="6">
        <v>44743</v>
      </c>
      <c r="AI1" s="6">
        <v>44774</v>
      </c>
      <c r="AJ1" s="6">
        <v>44805</v>
      </c>
      <c r="AK1" s="6">
        <v>44835</v>
      </c>
      <c r="AL1" s="6">
        <v>44866</v>
      </c>
      <c r="AM1" s="6">
        <v>44896</v>
      </c>
    </row>
    <row r="2" spans="1:45" x14ac:dyDescent="0.25">
      <c r="A2" s="7" t="s">
        <v>2</v>
      </c>
      <c r="B2" s="7" t="s">
        <v>3</v>
      </c>
      <c r="C2" s="7" t="s">
        <v>6</v>
      </c>
      <c r="D2" s="6">
        <v>43861</v>
      </c>
      <c r="E2" s="6">
        <v>43890</v>
      </c>
      <c r="F2" s="6">
        <v>43921</v>
      </c>
      <c r="G2" s="6">
        <v>43951</v>
      </c>
      <c r="H2" s="6">
        <v>43982</v>
      </c>
      <c r="I2" s="6">
        <v>44012</v>
      </c>
      <c r="J2" s="6">
        <v>44043</v>
      </c>
      <c r="K2" s="6">
        <v>44074</v>
      </c>
      <c r="L2" s="6">
        <v>44104</v>
      </c>
      <c r="M2" s="6">
        <v>44135</v>
      </c>
      <c r="N2" s="6">
        <v>44165</v>
      </c>
      <c r="O2" s="6">
        <v>44196</v>
      </c>
      <c r="P2" s="6">
        <v>44227</v>
      </c>
      <c r="Q2" s="6">
        <v>44255</v>
      </c>
      <c r="R2" s="6">
        <v>44286</v>
      </c>
      <c r="S2" s="6">
        <v>44316</v>
      </c>
      <c r="T2" s="6">
        <v>44347</v>
      </c>
      <c r="U2" s="6">
        <v>44377</v>
      </c>
      <c r="V2" s="6">
        <v>44408</v>
      </c>
      <c r="W2" s="6">
        <v>44439</v>
      </c>
      <c r="X2" s="6">
        <v>44469</v>
      </c>
      <c r="Y2" s="6">
        <v>44500</v>
      </c>
      <c r="Z2" s="6">
        <v>44530</v>
      </c>
      <c r="AA2" s="6">
        <v>44561</v>
      </c>
      <c r="AB2" s="6">
        <v>44592</v>
      </c>
      <c r="AC2" s="6">
        <v>44620</v>
      </c>
      <c r="AD2" s="6">
        <v>44651</v>
      </c>
      <c r="AE2" s="6">
        <v>44681</v>
      </c>
      <c r="AF2" s="6">
        <v>44712</v>
      </c>
      <c r="AG2" s="6">
        <v>44742</v>
      </c>
      <c r="AH2" s="6">
        <v>44773</v>
      </c>
      <c r="AI2" s="6">
        <v>44804</v>
      </c>
      <c r="AJ2" s="6">
        <v>44834</v>
      </c>
      <c r="AK2" s="6">
        <v>44865</v>
      </c>
      <c r="AL2" s="6">
        <v>44895</v>
      </c>
      <c r="AM2" s="6">
        <v>44926</v>
      </c>
    </row>
    <row r="3" spans="1:45" s="3" customFormat="1" x14ac:dyDescent="0.25">
      <c r="A3" s="8" t="s">
        <v>0</v>
      </c>
      <c r="B3" s="4">
        <f>SUM(D3:AM3)+C3</f>
        <v>5090735000</v>
      </c>
      <c r="C3" s="4"/>
      <c r="D3" s="2">
        <f t="shared" ref="D3:AA3" si="0">D4*D5</f>
        <v>105050000</v>
      </c>
      <c r="E3" s="2">
        <f t="shared" si="0"/>
        <v>121875000</v>
      </c>
      <c r="F3" s="2">
        <f t="shared" si="0"/>
        <v>107250000</v>
      </c>
      <c r="G3" s="2">
        <f t="shared" si="0"/>
        <v>121875000</v>
      </c>
      <c r="H3" s="2">
        <f t="shared" si="0"/>
        <v>133987500</v>
      </c>
      <c r="I3" s="2">
        <f t="shared" si="0"/>
        <v>119100000</v>
      </c>
      <c r="J3" s="2">
        <f t="shared" si="0"/>
        <v>133987500</v>
      </c>
      <c r="K3" s="2">
        <f t="shared" si="0"/>
        <v>136350000</v>
      </c>
      <c r="L3" s="2">
        <f t="shared" si="0"/>
        <v>131300000</v>
      </c>
      <c r="M3" s="2">
        <f t="shared" si="0"/>
        <v>136350000</v>
      </c>
      <c r="N3" s="2">
        <f t="shared" si="0"/>
        <v>105560000</v>
      </c>
      <c r="O3" s="2">
        <f t="shared" si="0"/>
        <v>172550000</v>
      </c>
      <c r="P3" s="2">
        <f t="shared" si="0"/>
        <v>172550000</v>
      </c>
      <c r="Q3" s="2">
        <f t="shared" si="0"/>
        <v>143500000</v>
      </c>
      <c r="R3" s="2">
        <f t="shared" si="0"/>
        <v>148625000</v>
      </c>
      <c r="S3" s="2">
        <f t="shared" si="0"/>
        <v>169125000</v>
      </c>
      <c r="T3" s="2">
        <f t="shared" si="0"/>
        <v>135200000</v>
      </c>
      <c r="U3" s="2">
        <f t="shared" si="0"/>
        <v>135200000</v>
      </c>
      <c r="V3" s="2">
        <f t="shared" si="0"/>
        <v>187200000</v>
      </c>
      <c r="W3" s="2">
        <f t="shared" si="0"/>
        <v>152975000</v>
      </c>
      <c r="X3" s="2">
        <f t="shared" si="0"/>
        <v>152975000</v>
      </c>
      <c r="Y3" s="2">
        <f t="shared" si="0"/>
        <v>152975000</v>
      </c>
      <c r="Z3" s="2">
        <f t="shared" si="0"/>
        <v>152975000</v>
      </c>
      <c r="AA3" s="2">
        <f t="shared" si="0"/>
        <v>152975000</v>
      </c>
      <c r="AB3" s="2">
        <f t="shared" ref="AB3:AM3" si="1">AB4*AB5</f>
        <v>118250000</v>
      </c>
      <c r="AC3" s="2">
        <f t="shared" si="1"/>
        <v>134375000</v>
      </c>
      <c r="AD3" s="2">
        <f t="shared" si="1"/>
        <v>118250000</v>
      </c>
      <c r="AE3" s="2">
        <f t="shared" si="1"/>
        <v>137500000</v>
      </c>
      <c r="AF3" s="2">
        <f t="shared" si="1"/>
        <v>148500000</v>
      </c>
      <c r="AG3" s="2">
        <f t="shared" si="1"/>
        <v>132000000</v>
      </c>
      <c r="AH3" s="2">
        <f t="shared" si="1"/>
        <v>151875000</v>
      </c>
      <c r="AI3" s="2">
        <f t="shared" si="1"/>
        <v>151875000</v>
      </c>
      <c r="AJ3" s="2">
        <f t="shared" si="1"/>
        <v>146250000</v>
      </c>
      <c r="AK3" s="2">
        <f t="shared" si="1"/>
        <v>155250000</v>
      </c>
      <c r="AL3" s="2">
        <f t="shared" si="1"/>
        <v>119600000</v>
      </c>
      <c r="AM3" s="2">
        <f t="shared" si="1"/>
        <v>195500000</v>
      </c>
      <c r="AN3"/>
      <c r="AO3"/>
      <c r="AP3"/>
      <c r="AQ3"/>
      <c r="AR3"/>
      <c r="AS3"/>
    </row>
    <row r="4" spans="1:45" s="3" customFormat="1" x14ac:dyDescent="0.25">
      <c r="A4" s="8" t="s">
        <v>1</v>
      </c>
      <c r="B4" s="4">
        <f>SUM(D4:AM4)+C4</f>
        <v>24263</v>
      </c>
      <c r="C4" s="4">
        <v>-2</v>
      </c>
      <c r="D4" s="1">
        <v>550</v>
      </c>
      <c r="E4" s="1">
        <v>625</v>
      </c>
      <c r="F4" s="1">
        <v>550</v>
      </c>
      <c r="G4" s="1">
        <v>625</v>
      </c>
      <c r="H4" s="1">
        <v>675</v>
      </c>
      <c r="I4" s="1">
        <v>600</v>
      </c>
      <c r="J4" s="1">
        <v>675</v>
      </c>
      <c r="K4" s="1">
        <v>675</v>
      </c>
      <c r="L4" s="1">
        <v>650</v>
      </c>
      <c r="M4" s="1">
        <v>675</v>
      </c>
      <c r="N4" s="1">
        <v>520</v>
      </c>
      <c r="O4" s="1">
        <v>850</v>
      </c>
      <c r="P4" s="1">
        <v>850</v>
      </c>
      <c r="Q4" s="1">
        <v>700</v>
      </c>
      <c r="R4" s="1">
        <v>725</v>
      </c>
      <c r="S4" s="1">
        <v>825</v>
      </c>
      <c r="T4" s="1">
        <v>650</v>
      </c>
      <c r="U4" s="1">
        <v>650</v>
      </c>
      <c r="V4" s="1">
        <v>900</v>
      </c>
      <c r="W4" s="1">
        <v>725</v>
      </c>
      <c r="X4" s="1">
        <v>725</v>
      </c>
      <c r="Y4" s="1">
        <v>725</v>
      </c>
      <c r="Z4" s="1">
        <v>725</v>
      </c>
      <c r="AA4" s="1">
        <v>725</v>
      </c>
      <c r="AB4" s="1">
        <v>550</v>
      </c>
      <c r="AC4" s="1">
        <v>625</v>
      </c>
      <c r="AD4" s="1">
        <v>550</v>
      </c>
      <c r="AE4" s="1">
        <v>625</v>
      </c>
      <c r="AF4" s="1">
        <v>675</v>
      </c>
      <c r="AG4" s="1">
        <v>600</v>
      </c>
      <c r="AH4" s="1">
        <v>675</v>
      </c>
      <c r="AI4" s="1">
        <v>675</v>
      </c>
      <c r="AJ4" s="1">
        <v>650</v>
      </c>
      <c r="AK4" s="1">
        <v>675</v>
      </c>
      <c r="AL4" s="1">
        <v>520</v>
      </c>
      <c r="AM4" s="1">
        <v>850</v>
      </c>
      <c r="AN4"/>
      <c r="AO4"/>
      <c r="AP4"/>
      <c r="AQ4"/>
      <c r="AR4"/>
      <c r="AS4"/>
    </row>
    <row r="5" spans="1:45" s="3" customFormat="1" x14ac:dyDescent="0.25">
      <c r="A5" s="8" t="s">
        <v>5</v>
      </c>
      <c r="B5" s="4">
        <f>B3/B4</f>
        <v>209814.73849070602</v>
      </c>
      <c r="C5" s="4"/>
      <c r="D5" s="2">
        <v>191000</v>
      </c>
      <c r="E5" s="2">
        <v>195000</v>
      </c>
      <c r="F5" s="2">
        <v>195000</v>
      </c>
      <c r="G5" s="2">
        <v>195000</v>
      </c>
      <c r="H5" s="1">
        <v>198500</v>
      </c>
      <c r="I5" s="1">
        <v>198500</v>
      </c>
      <c r="J5" s="1">
        <v>198500</v>
      </c>
      <c r="K5" s="2">
        <v>202000</v>
      </c>
      <c r="L5" s="2">
        <v>202000</v>
      </c>
      <c r="M5" s="2">
        <v>202000</v>
      </c>
      <c r="N5" s="2">
        <v>203000</v>
      </c>
      <c r="O5" s="2">
        <v>203000</v>
      </c>
      <c r="P5" s="2">
        <v>203000</v>
      </c>
      <c r="Q5" s="2">
        <v>205000</v>
      </c>
      <c r="R5" s="2">
        <v>205000</v>
      </c>
      <c r="S5" s="2">
        <v>205000</v>
      </c>
      <c r="T5" s="2">
        <v>208000</v>
      </c>
      <c r="U5" s="2">
        <v>208000</v>
      </c>
      <c r="V5" s="2">
        <v>208000</v>
      </c>
      <c r="W5" s="2">
        <v>211000</v>
      </c>
      <c r="X5" s="2">
        <v>211000</v>
      </c>
      <c r="Y5" s="2">
        <v>211000</v>
      </c>
      <c r="Z5" s="2">
        <v>211000</v>
      </c>
      <c r="AA5" s="2">
        <v>211000</v>
      </c>
      <c r="AB5" s="2">
        <v>215000</v>
      </c>
      <c r="AC5" s="2">
        <v>215000</v>
      </c>
      <c r="AD5" s="2">
        <v>215000</v>
      </c>
      <c r="AE5" s="2">
        <v>220000</v>
      </c>
      <c r="AF5" s="2">
        <v>220000</v>
      </c>
      <c r="AG5" s="2">
        <v>220000</v>
      </c>
      <c r="AH5" s="1">
        <v>225000</v>
      </c>
      <c r="AI5" s="1">
        <v>225000</v>
      </c>
      <c r="AJ5" s="1">
        <v>225000</v>
      </c>
      <c r="AK5" s="2">
        <v>230000</v>
      </c>
      <c r="AL5" s="2">
        <v>230000</v>
      </c>
      <c r="AM5" s="2">
        <v>230000</v>
      </c>
      <c r="AN5"/>
      <c r="AO5"/>
      <c r="AP5"/>
      <c r="AQ5"/>
      <c r="AR5"/>
      <c r="AS5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nisakova</dc:creator>
  <cp:lastModifiedBy>nisakova</cp:lastModifiedBy>
  <dcterms:created xsi:type="dcterms:W3CDTF">2020-11-11T07:41:59Z</dcterms:created>
  <dcterms:modified xsi:type="dcterms:W3CDTF">2021-01-14T13:35:09Z</dcterms:modified>
</cp:coreProperties>
</file>